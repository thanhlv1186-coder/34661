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s" state="visible" r:id="rId4"/>
  </sheets>
  <calcPr calcId="171027"/>
</workbook>
</file>

<file path=xl/sharedStrings.xml><?xml version="1.0" encoding="utf-8"?>
<sst xmlns="http://schemas.openxmlformats.org/spreadsheetml/2006/main" count="21" uniqueCount="21">
  <si>
    <t>Vùng</t>
  </si>
  <si>
    <t>Tên kho</t>
  </si>
  <si>
    <t>NL Tổng</t>
  </si>
  <si>
    <t>NL ML</t>
  </si>
  <si>
    <t>NL ĐHK</t>
  </si>
  <si>
    <t>Khai báo ML</t>
  </si>
  <si>
    <t>Khai báo ĐHK</t>
  </si>
  <si>
    <t>Đã sử dụng ML</t>
  </si>
  <si>
    <t>Đã sử dụng ĐHK</t>
  </si>
  <si>
    <t>% KB/NL</t>
  </si>
  <si>
    <t>% KB ML</t>
  </si>
  <si>
    <t>% KB ĐHK</t>
  </si>
  <si>
    <t>% NL/DBA ML</t>
  </si>
  <si>
    <t>% NL/DBA ĐHK</t>
  </si>
  <si>
    <t>Trạng thái</t>
  </si>
  <si>
    <t>Đông Tây Bắc</t>
  </si>
  <si>
    <t>Bắc Kạn</t>
  </si>
  <si>
    <t>🔴</t>
  </si>
  <si>
    <t>Đồng Bằng Sông Hồng</t>
  </si>
  <si>
    <t>Bắc Giang</t>
  </si>
  <si>
    <t>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</si>
</sst>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5" customWidth="1"/>
    <col min="7" max="7" width="16" customWidth="1"/>
    <col min="8" max="8" width="17" customWidth="1"/>
    <col min="9" max="9" width="18" customWidth="1"/>
    <col min="10" max="12" width="12" customWidth="1"/>
    <col min="13" max="13" width="15" customWidth="1"/>
    <col min="14" max="14" width="16" customWidth="1"/>
    <col min="15" max="15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50</v>
      </c>
      <c r="D2">
        <v>20</v>
      </c>
      <c r="E2">
        <v>30</v>
      </c>
      <c r="F2">
        <v>12</v>
      </c>
      <c r="G2">
        <v>28</v>
      </c>
      <c r="H2">
        <v>9</v>
      </c>
      <c r="I2">
        <v>2</v>
      </c>
      <c r="J2" s="2">
        <f>IF(C2=0,0,(F2+G2)/C2)</f>
      </c>
      <c r="K2" s="2">
        <f>IF(D2=0,0,F2/D2)</f>
      </c>
      <c r="L2" s="2">
        <f>IF(E2=0,0,G2/E2)</f>
      </c>
      <c r="M2">
        <v>115</v>
      </c>
      <c r="N2">
        <v>93</v>
      </c>
      <c r="O2" t="s">
        <v>17</v>
      </c>
    </row>
    <row r="3" spans="1:15" x14ac:dyDescent="0.25">
      <c r="A3" t="s">
        <v>18</v>
      </c>
      <c r="B3" t="s">
        <v>19</v>
      </c>
      <c r="C3">
        <v>230</v>
      </c>
      <c r="D3">
        <v>80</v>
      </c>
      <c r="E3">
        <v>150</v>
      </c>
      <c r="F3">
        <v>78</v>
      </c>
      <c r="G3">
        <v>148</v>
      </c>
      <c r="H3">
        <v>60</v>
      </c>
      <c r="I3">
        <v>66</v>
      </c>
      <c r="J3" s="2">
        <f>IF(C3=0,0,(F3+G3)/C3)</f>
      </c>
      <c r="K3" s="2">
        <f>IF(D3=0,0,F3/D3)</f>
      </c>
      <c r="L3" s="2">
        <f>IF(E3=0,0,G3/E3)</f>
      </c>
      <c r="M3">
        <v>138</v>
      </c>
      <c r="N3">
        <v>103</v>
      </c>
      <c r="O3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dashboard updater</dc:creator>
  <dc:title/>
  <dc:subject/>
  <dc:description/>
  <cp:keywords/>
  <cp:category/>
  <cp:lastModifiedBy>Unknown</cp:lastModifiedBy>
  <dcterms:created xsi:type="dcterms:W3CDTF">2026-05-19T16:00:55Z</dcterms:created>
  <dcterms:modified xsi:type="dcterms:W3CDTF">2026-05-19T16:00:55Z</dcterms:modified>
</cp:coreProperties>
</file>